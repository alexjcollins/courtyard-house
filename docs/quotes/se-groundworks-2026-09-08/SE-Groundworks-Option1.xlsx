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rickyseg/Desktop/Work/2618 - Courtyard House/"/>
    </mc:Choice>
  </mc:AlternateContent>
  <xr:revisionPtr revIDLastSave="0" documentId="8_{A2329ACB-D5A9-554E-9181-4A78D7970970}" xr6:coauthVersionLast="47" xr6:coauthVersionMax="47" xr10:uidLastSave="{00000000-0000-0000-0000-000000000000}"/>
  <bookViews>
    <workbookView xWindow="0" yWindow="0" windowWidth="28800" windowHeight="18000" xr2:uid="{8D9DEA20-91C7-F149-BAA2-38D4F047AAB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 l="1"/>
  <c r="F12" i="1"/>
  <c r="F56" i="1"/>
  <c r="F15" i="1"/>
  <c r="F16" i="1"/>
  <c r="F19" i="1"/>
  <c r="F20" i="1"/>
  <c r="F21" i="1"/>
  <c r="F24" i="1"/>
  <c r="F27" i="1"/>
  <c r="F30" i="1"/>
  <c r="F31" i="1"/>
  <c r="F32" i="1"/>
  <c r="F35" i="1"/>
  <c r="F36" i="1"/>
  <c r="F39" i="1"/>
  <c r="F40" i="1"/>
  <c r="F41" i="1"/>
  <c r="F42" i="1"/>
  <c r="F43" i="1"/>
  <c r="F44" i="1"/>
  <c r="F47" i="1"/>
  <c r="F48" i="1"/>
  <c r="F49" i="1"/>
  <c r="F52" i="1"/>
  <c r="F53" i="1"/>
  <c r="F10" i="1"/>
</calcChain>
</file>

<file path=xl/sharedStrings.xml><?xml version="1.0" encoding="utf-8"?>
<sst xmlns="http://schemas.openxmlformats.org/spreadsheetml/2006/main" count="83" uniqueCount="65">
  <si>
    <t>REF</t>
  </si>
  <si>
    <t>Job Description</t>
  </si>
  <si>
    <t>Total</t>
  </si>
  <si>
    <t>Quantity</t>
  </si>
  <si>
    <t>Notes/comments</t>
  </si>
  <si>
    <r>
      <rPr>
        <b/>
        <sz val="11"/>
        <color theme="1"/>
        <rFont val="Calibri"/>
        <family val="2"/>
        <scheme val="minor"/>
      </rPr>
      <t xml:space="preserve">Please note - This is an estimate not a fixed price, the price given includes work and quantities listed on this document only, any extra works or quantities may incur additional charges. Estimate is valid for 30 days from date sent. Progress of work must be continuous and uninterrupted, delays outside of South East Groundworks control may be charged at £100 per hour. If unforeseen materials or objects are found when excavating then additional charges and/or extra works may be required. South East Groundworks reserve the right to withhold all warranties, guarantees, integrity test reports, or any other test results until all invoiced amounts are paid, without exception, in full. Goods, materials and structures remain the property of South East Groundworks Ltd until all invoiced amounts are paid, without exception, in full. Invoices must be settled within 7 days of date  sent unless stated and agreed otherwise. If payment is not received by the due date it will be classed as a debt due and subject to additional charges of £150 per day. </t>
    </r>
    <r>
      <rPr>
        <sz val="11"/>
        <color theme="1"/>
        <rFont val="Calibri"/>
        <family val="2"/>
        <scheme val="minor"/>
      </rPr>
      <t xml:space="preserve"> </t>
    </r>
  </si>
  <si>
    <t>Unit</t>
  </si>
  <si>
    <t>Rate</t>
  </si>
  <si>
    <t>Value</t>
  </si>
  <si>
    <t>Preliminaries</t>
  </si>
  <si>
    <t>Setting out and engineer attendance</t>
  </si>
  <si>
    <t>Working foreman / supervision</t>
  </si>
  <si>
    <t>Reduce Dig</t>
  </si>
  <si>
    <t>Reduce building footprint by average 450mm</t>
  </si>
  <si>
    <t>Dispose of reduced-dig spoil</t>
  </si>
  <si>
    <t>m3</t>
  </si>
  <si>
    <t>Deep Strip foundations</t>
  </si>
  <si>
    <t>Excavate strip foundations</t>
  </si>
  <si>
    <t>Trench support and deep-excavation allowance</t>
  </si>
  <si>
    <t>Dispose of foundation spoil</t>
  </si>
  <si>
    <t>Item</t>
  </si>
  <si>
    <t>Trench Fill Concrete</t>
  </si>
  <si>
    <t>C25 trench-fill concrete</t>
  </si>
  <si>
    <t>Heave Protection</t>
  </si>
  <si>
    <t>75mm Claymaster/ Heaveguard</t>
  </si>
  <si>
    <t>Suspended Beam and Block Floor</t>
  </si>
  <si>
    <t>Beam-and-block floor supplied and installed</t>
  </si>
  <si>
    <t>Minimum 300mm ventilated void, vents and closures</t>
  </si>
  <si>
    <t>Blinding, DPM and floor sundries</t>
  </si>
  <si>
    <t>m2</t>
  </si>
  <si>
    <t>item</t>
  </si>
  <si>
    <t xml:space="preserve">Sub DPC </t>
  </si>
  <si>
    <t>Sub-DPC blockwork / upstands</t>
  </si>
  <si>
    <t>DPC, vents, sleeves and minor sundries</t>
  </si>
  <si>
    <t xml:space="preserve">Foul and Surface water drainage </t>
  </si>
  <si>
    <t>Below-ground foul drainage</t>
  </si>
  <si>
    <t>m</t>
  </si>
  <si>
    <t>Foul inspection chambers</t>
  </si>
  <si>
    <t>Nr</t>
  </si>
  <si>
    <t>Six-person Biodisc treatment plant, pump and installation</t>
  </si>
  <si>
    <t>Surface-water drainage and chambers</t>
  </si>
  <si>
    <t>Controlled outfall / flow control to ditch</t>
  </si>
  <si>
    <t>Clear / regrade ditch and jet existing 100mm pipe</t>
  </si>
  <si>
    <t>PC</t>
  </si>
  <si>
    <t>Courtyard and External works</t>
  </si>
  <si>
    <t>Permeable courtyard construction</t>
  </si>
  <si>
    <t>Permeable driveway / attenuation construction</t>
  </si>
  <si>
    <t>Patios, paths and thresholds</t>
  </si>
  <si>
    <t>Services and Testing</t>
  </si>
  <si>
    <t>Service ducts, entries and draw pits</t>
  </si>
  <si>
    <t>Drainage testing, CCTV and as-built records</t>
  </si>
  <si>
    <t>Machine haulage and collection</t>
  </si>
  <si>
    <t>Will SEG be Princible contractor</t>
  </si>
  <si>
    <t>If required</t>
  </si>
  <si>
    <t>A</t>
  </si>
  <si>
    <t>B</t>
  </si>
  <si>
    <t>C</t>
  </si>
  <si>
    <t>D</t>
  </si>
  <si>
    <t>E</t>
  </si>
  <si>
    <t>F</t>
  </si>
  <si>
    <t>G</t>
  </si>
  <si>
    <t>H</t>
  </si>
  <si>
    <t>I</t>
  </si>
  <si>
    <t>J</t>
  </si>
  <si>
    <t>Courtyard House, Gribble Bridge Lane, Biddenden, TN27 8DF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</si>
</sst>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809]* #,##0.00_-;\-[$£-809]* #,##0.00_-;_-[$£-809]* &quot;-&quot;??_-;_-@_-"/>
  </numFmts>
  <fonts count="13" x14ac:knownFonts="1">
    <font>
      <sz val="12"/>
      <color theme="1"/>
      <name val="Calibri"/>
      <family val="2"/>
      <scheme val="minor"/>
    </font>
    <font>
      <sz val="12"/>
      <color theme="1"/>
      <name val="Calibri"/>
      <family val="2"/>
      <scheme val="minor"/>
    </font>
    <font>
      <b/>
      <sz val="12"/>
      <color theme="1"/>
      <name val="Calibri"/>
      <family val="2"/>
      <scheme val="minor"/>
    </font>
    <font>
      <b/>
      <sz val="12"/>
      <color rgb="FF00B050"/>
      <name val="Calibri"/>
      <family val="2"/>
      <scheme val="minor"/>
    </font>
    <font>
      <b/>
      <sz val="12"/>
      <color rgb="FF000000"/>
      <name val="Calibri"/>
      <family val="2"/>
      <scheme val="minor"/>
    </font>
    <font>
      <b/>
      <sz val="14"/>
      <color theme="1"/>
      <name val="Calibri"/>
      <family val="2"/>
      <scheme val="minor"/>
    </font>
    <font>
      <sz val="14"/>
      <color rgb="FF202124"/>
      <name val="Calibri"/>
      <family val="2"/>
      <scheme val="minor"/>
    </font>
    <font>
      <sz val="11"/>
      <color theme="1"/>
      <name val="Calibri"/>
      <family val="2"/>
      <scheme val="minor"/>
    </font>
    <font>
      <b/>
      <sz val="11"/>
      <color theme="1"/>
      <name val="Calibri"/>
      <family val="2"/>
      <scheme val="minor"/>
    </font>
    <font>
      <sz val="11"/>
      <color rgb="FF000000"/>
      <name val="Aptos Narrow"/>
    </font>
    <font>
      <sz val="12"/>
      <color theme="1"/>
      <name val="Calibri Light"/>
      <family val="2"/>
      <scheme val="major"/>
    </font>
    <font>
      <sz val="12"/>
      <color rgb="FF000000"/>
      <name val="Calibri Light"/>
      <family val="2"/>
      <scheme val="major"/>
    </font>
    <font>
      <sz val="12"/>
      <color rgb="FF1F1F1F"/>
      <name val="Calibri Light"/>
      <family val="2"/>
      <scheme val="major"/>
    </font>
  </fonts>
  <fills count="4">
    <fill>
      <patternFill patternType="none"/>
    </fill>
    <fill>
      <patternFill patternType="gray125"/>
    </fill>
    <fill>
      <patternFill patternType="solid">
        <fgColor theme="2"/>
        <bgColor indexed="64"/>
      </patternFill>
    </fill>
    <fill>
      <patternFill patternType="solid">
        <fgColor theme="2"/>
        <bgColor rgb="FF000000"/>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rgb="FFBFBFBF"/>
      </right>
      <top/>
      <bottom style="thin">
        <color rgb="FFBFBFBF"/>
      </bottom>
      <diagonal/>
    </border>
    <border>
      <left/>
      <right style="thin">
        <color rgb="FFBFBFBF"/>
      </right>
      <top/>
      <bottom/>
      <diagonal/>
    </border>
    <border>
      <left/>
      <right style="thin">
        <color rgb="FFBFBFBF"/>
      </right>
      <top style="thin">
        <color indexed="64"/>
      </top>
      <bottom style="thin">
        <color rgb="FFBFBFBF"/>
      </bottom>
      <diagonal/>
    </border>
    <border>
      <left/>
      <right style="thin">
        <color rgb="FFBFBFBF"/>
      </right>
      <top/>
      <bottom style="thin">
        <color indexed="64"/>
      </bottom>
      <diagonal/>
    </border>
    <border>
      <left style="thin">
        <color indexed="64"/>
      </left>
      <right style="thin">
        <color indexed="64"/>
      </right>
      <top/>
      <bottom style="thin">
        <color rgb="FFBFBFBF"/>
      </bottom>
      <diagonal/>
    </border>
    <border>
      <left style="thin">
        <color indexed="64"/>
      </left>
      <right style="thin">
        <color indexed="64"/>
      </right>
      <top style="thin">
        <color indexed="64"/>
      </top>
      <bottom style="thin">
        <color rgb="FFBFBFBF"/>
      </bottom>
      <diagonal/>
    </border>
    <border>
      <left/>
      <right/>
      <top/>
      <bottom style="thin">
        <color rgb="FFBFBFBF"/>
      </bottom>
      <diagonal/>
    </border>
    <border>
      <left/>
      <right/>
      <top style="thin">
        <color indexed="64"/>
      </top>
      <bottom style="thin">
        <color rgb="FFBFBFBF"/>
      </bottom>
      <diagonal/>
    </border>
  </borders>
  <cellStyleXfs count="2">
    <xf numFmtId="0" fontId="0" fillId="0" borderId="0"/>
    <xf numFmtId="44" fontId="1" fillId="0" borderId="0" applyFont="0" applyFill="0" applyBorder="0" applyAlignment="0" applyProtection="0"/>
  </cellStyleXfs>
  <cellXfs count="79">
    <xf numFmtId="0" fontId="0" fillId="0" borderId="0" xfId="0"/>
    <xf numFmtId="0" fontId="2" fillId="2" borderId="1" xfId="0" applyFont="1" applyFill="1" applyBorder="1" applyAlignment="1">
      <alignment horizontal="center"/>
    </xf>
    <xf numFmtId="0" fontId="2" fillId="2" borderId="1" xfId="0" applyFont="1" applyFill="1" applyBorder="1"/>
    <xf numFmtId="0" fontId="4" fillId="3" borderId="1" xfId="0" applyFont="1" applyFill="1" applyBorder="1"/>
    <xf numFmtId="164" fontId="2" fillId="2" borderId="0" xfId="0" applyNumberFormat="1" applyFont="1" applyFill="1"/>
    <xf numFmtId="164" fontId="0" fillId="0" borderId="0" xfId="0" applyNumberFormat="1"/>
    <xf numFmtId="0" fontId="0" fillId="0" borderId="3" xfId="0" applyBorder="1"/>
    <xf numFmtId="0" fontId="0" fillId="0" borderId="1" xfId="0" applyBorder="1"/>
    <xf numFmtId="164" fontId="2" fillId="2" borderId="9" xfId="0" applyNumberFormat="1" applyFont="1" applyFill="1" applyBorder="1"/>
    <xf numFmtId="164" fontId="3" fillId="0" borderId="13" xfId="0" applyNumberFormat="1" applyFont="1" applyBorder="1"/>
    <xf numFmtId="0" fontId="7" fillId="0" borderId="7" xfId="0" applyFont="1" applyBorder="1" applyAlignment="1">
      <alignment wrapText="1"/>
    </xf>
    <xf numFmtId="0" fontId="7" fillId="0" borderId="8" xfId="0" applyFont="1" applyBorder="1"/>
    <xf numFmtId="0" fontId="7" fillId="0" borderId="9" xfId="0" applyFont="1" applyBorder="1"/>
    <xf numFmtId="0" fontId="9" fillId="0" borderId="9" xfId="0" applyFont="1" applyBorder="1" applyAlignment="1">
      <alignment horizontal="center" vertical="center"/>
    </xf>
    <xf numFmtId="0" fontId="9" fillId="0" borderId="0" xfId="0" applyFont="1" applyAlignment="1">
      <alignment horizontal="center" vertical="center"/>
    </xf>
    <xf numFmtId="44" fontId="0" fillId="0" borderId="9" xfId="1" applyFont="1" applyBorder="1"/>
    <xf numFmtId="44" fontId="7" fillId="0" borderId="9" xfId="1" applyFont="1" applyFill="1" applyBorder="1"/>
    <xf numFmtId="0" fontId="6" fillId="0" borderId="10" xfId="0" applyFont="1" applyBorder="1" applyAlignment="1">
      <alignment horizontal="right"/>
    </xf>
    <xf numFmtId="0" fontId="6" fillId="0" borderId="8" xfId="0" applyFont="1" applyBorder="1" applyAlignment="1">
      <alignment horizontal="right"/>
    </xf>
    <xf numFmtId="0" fontId="6" fillId="0" borderId="12" xfId="0" applyFont="1" applyBorder="1" applyAlignment="1">
      <alignment horizontal="right"/>
    </xf>
    <xf numFmtId="0" fontId="6" fillId="0" borderId="6" xfId="0" applyFont="1" applyBorder="1" applyAlignment="1">
      <alignment horizontal="right"/>
    </xf>
    <xf numFmtId="0" fontId="6" fillId="0" borderId="0" xfId="0" applyFont="1" applyAlignment="1">
      <alignment horizontal="right"/>
    </xf>
    <xf numFmtId="0" fontId="6" fillId="0" borderId="7" xfId="0" applyFont="1" applyBorder="1" applyAlignment="1">
      <alignment horizontal="right"/>
    </xf>
    <xf numFmtId="0" fontId="6" fillId="0" borderId="11" xfId="0" applyFont="1" applyBorder="1" applyAlignment="1">
      <alignment horizontal="right"/>
    </xf>
    <xf numFmtId="0" fontId="6" fillId="0" borderId="5" xfId="0" applyFont="1" applyBorder="1" applyAlignment="1">
      <alignment horizontal="right"/>
    </xf>
    <xf numFmtId="0" fontId="6" fillId="0" borderId="13" xfId="0" applyFont="1" applyBorder="1" applyAlignment="1">
      <alignment horizontal="right"/>
    </xf>
    <xf numFmtId="0" fontId="7" fillId="0" borderId="1" xfId="0" applyFont="1" applyBorder="1" applyAlignment="1">
      <alignment horizontal="center" vertical="center" wrapText="1"/>
    </xf>
    <xf numFmtId="0" fontId="2" fillId="0" borderId="3" xfId="0" applyFont="1" applyBorder="1" applyAlignment="1">
      <alignment horizontal="left" wrapText="1"/>
    </xf>
    <xf numFmtId="0" fontId="2" fillId="0" borderId="14" xfId="0" applyFont="1" applyBorder="1" applyAlignment="1">
      <alignment horizontal="left" wrapText="1"/>
    </xf>
    <xf numFmtId="0" fontId="2" fillId="0" borderId="4" xfId="0" applyFont="1" applyBorder="1" applyAlignment="1">
      <alignment horizontal="left" wrapText="1"/>
    </xf>
    <xf numFmtId="0" fontId="5" fillId="2" borderId="3" xfId="0" applyFont="1" applyFill="1" applyBorder="1" applyAlignment="1">
      <alignment horizontal="left" wrapText="1"/>
    </xf>
    <xf numFmtId="0" fontId="5" fillId="2" borderId="14" xfId="0" applyFont="1" applyFill="1" applyBorder="1" applyAlignment="1">
      <alignment horizontal="left" wrapText="1"/>
    </xf>
    <xf numFmtId="0" fontId="5" fillId="2" borderId="4" xfId="0" applyFont="1" applyFill="1" applyBorder="1" applyAlignment="1">
      <alignment horizontal="left" wrapText="1"/>
    </xf>
    <xf numFmtId="0" fontId="10" fillId="0" borderId="2" xfId="0" applyFont="1" applyBorder="1"/>
    <xf numFmtId="0" fontId="11" fillId="0" borderId="0" xfId="0" applyFont="1"/>
    <xf numFmtId="44" fontId="10" fillId="0" borderId="2" xfId="1" applyFont="1" applyFill="1" applyBorder="1"/>
    <xf numFmtId="0" fontId="10" fillId="0" borderId="7" xfId="0" applyFont="1" applyBorder="1" applyAlignment="1">
      <alignment wrapText="1"/>
    </xf>
    <xf numFmtId="0" fontId="12" fillId="0" borderId="0" xfId="0" applyFont="1"/>
    <xf numFmtId="0" fontId="10" fillId="0" borderId="15" xfId="0" applyFont="1" applyBorder="1"/>
    <xf numFmtId="0" fontId="10" fillId="0" borderId="0" xfId="0" applyFont="1"/>
    <xf numFmtId="164" fontId="10" fillId="0" borderId="15" xfId="1" applyNumberFormat="1" applyFont="1" applyFill="1" applyBorder="1"/>
    <xf numFmtId="0" fontId="11" fillId="0" borderId="7" xfId="0" applyFont="1" applyBorder="1"/>
    <xf numFmtId="0" fontId="12" fillId="0" borderId="0" xfId="0" applyFont="1" applyFill="1" applyBorder="1" applyAlignment="1">
      <alignment vertical="center" wrapText="1"/>
    </xf>
    <xf numFmtId="0" fontId="10" fillId="0" borderId="0" xfId="0" applyFont="1" applyBorder="1"/>
    <xf numFmtId="0" fontId="12" fillId="0" borderId="0" xfId="0" applyFont="1" applyBorder="1"/>
    <xf numFmtId="0" fontId="10" fillId="0" borderId="0" xfId="0" applyFont="1" applyFill="1" applyBorder="1"/>
    <xf numFmtId="0" fontId="12" fillId="0" borderId="0" xfId="0" applyFont="1" applyFill="1" applyBorder="1"/>
    <xf numFmtId="0" fontId="10" fillId="0" borderId="9" xfId="0" applyFont="1" applyBorder="1"/>
    <xf numFmtId="0" fontId="11" fillId="0" borderId="8" xfId="0" applyFont="1" applyBorder="1"/>
    <xf numFmtId="44" fontId="10" fillId="0" borderId="9" xfId="1" applyFont="1" applyFill="1" applyBorder="1"/>
    <xf numFmtId="0" fontId="10" fillId="0" borderId="12" xfId="0" applyFont="1" applyBorder="1" applyAlignment="1">
      <alignment wrapText="1"/>
    </xf>
    <xf numFmtId="0" fontId="11" fillId="0" borderId="5" xfId="0" applyFont="1" applyFill="1" applyBorder="1"/>
    <xf numFmtId="44" fontId="10" fillId="0" borderId="15" xfId="1" applyFont="1" applyFill="1" applyBorder="1"/>
    <xf numFmtId="0" fontId="10" fillId="0" borderId="13" xfId="0" applyFont="1" applyBorder="1" applyAlignment="1">
      <alignment wrapText="1"/>
    </xf>
    <xf numFmtId="0" fontId="10" fillId="0" borderId="8" xfId="0" applyFont="1" applyFill="1" applyBorder="1"/>
    <xf numFmtId="0" fontId="10" fillId="0" borderId="5" xfId="0" applyFont="1" applyFill="1" applyBorder="1"/>
    <xf numFmtId="0" fontId="10" fillId="0" borderId="22" xfId="0" applyFont="1" applyBorder="1"/>
    <xf numFmtId="0" fontId="10" fillId="0" borderId="23" xfId="0" applyFont="1" applyBorder="1"/>
    <xf numFmtId="0" fontId="10" fillId="0" borderId="5" xfId="0" applyFont="1" applyBorder="1"/>
    <xf numFmtId="44" fontId="10" fillId="0" borderId="9" xfId="1" applyFont="1" applyBorder="1" applyAlignment="1">
      <alignment horizontal="center"/>
    </xf>
    <xf numFmtId="44" fontId="10" fillId="0" borderId="2" xfId="1" applyFont="1" applyBorder="1" applyAlignment="1">
      <alignment horizontal="center"/>
    </xf>
    <xf numFmtId="44" fontId="10" fillId="0" borderId="15" xfId="1" applyFont="1" applyBorder="1" applyAlignment="1">
      <alignment horizontal="center"/>
    </xf>
    <xf numFmtId="0" fontId="10" fillId="0" borderId="20" xfId="0" applyFont="1" applyBorder="1" applyAlignment="1">
      <alignment horizontal="center"/>
    </xf>
    <xf numFmtId="0" fontId="10" fillId="0" borderId="16" xfId="0" applyFont="1" applyBorder="1" applyAlignment="1">
      <alignment horizontal="center"/>
    </xf>
    <xf numFmtId="0" fontId="10" fillId="0" borderId="2" xfId="0" applyFont="1" applyBorder="1" applyAlignment="1">
      <alignment horizontal="center"/>
    </xf>
    <xf numFmtId="0" fontId="10" fillId="0" borderId="17" xfId="0" applyFont="1" applyBorder="1" applyAlignment="1">
      <alignment horizontal="center"/>
    </xf>
    <xf numFmtId="0" fontId="10" fillId="0" borderId="21" xfId="0" applyFont="1" applyBorder="1" applyAlignment="1">
      <alignment horizontal="center"/>
    </xf>
    <xf numFmtId="0" fontId="10" fillId="0" borderId="18" xfId="0" applyFont="1" applyBorder="1" applyAlignment="1">
      <alignment horizontal="center"/>
    </xf>
    <xf numFmtId="0" fontId="10" fillId="0" borderId="15" xfId="0" applyFont="1" applyBorder="1" applyAlignment="1">
      <alignment horizontal="center"/>
    </xf>
    <xf numFmtId="0" fontId="10" fillId="0" borderId="19" xfId="0" applyFont="1" applyBorder="1" applyAlignment="1">
      <alignment horizontal="center"/>
    </xf>
    <xf numFmtId="164" fontId="10" fillId="0" borderId="15" xfId="1" applyNumberFormat="1" applyFont="1" applyBorder="1" applyAlignment="1">
      <alignment horizontal="center"/>
    </xf>
    <xf numFmtId="0" fontId="11" fillId="0" borderId="9" xfId="0" applyFont="1" applyBorder="1" applyAlignment="1">
      <alignment horizontal="center"/>
    </xf>
    <xf numFmtId="0" fontId="11" fillId="0" borderId="8" xfId="0" applyFont="1" applyBorder="1" applyAlignment="1">
      <alignment horizontal="center"/>
    </xf>
    <xf numFmtId="0" fontId="11" fillId="0" borderId="2" xfId="0" applyFont="1" applyBorder="1" applyAlignment="1">
      <alignment horizontal="center"/>
    </xf>
    <xf numFmtId="0" fontId="11" fillId="0" borderId="0" xfId="0" applyFont="1" applyBorder="1" applyAlignment="1">
      <alignment horizontal="center"/>
    </xf>
    <xf numFmtId="0" fontId="11" fillId="0" borderId="15" xfId="0" applyFont="1" applyBorder="1" applyAlignment="1">
      <alignment horizontal="center"/>
    </xf>
    <xf numFmtId="0" fontId="11" fillId="0" borderId="5" xfId="0" applyFont="1" applyBorder="1" applyAlignment="1">
      <alignment horizontal="center"/>
    </xf>
    <xf numFmtId="0" fontId="11" fillId="0" borderId="0" xfId="0" applyFont="1" applyAlignment="1">
      <alignment horizontal="center"/>
    </xf>
    <xf numFmtId="0" fontId="10" fillId="0" borderId="0" xfId="0" applyFont="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380999</xdr:colOff>
      <xdr:row>0</xdr:row>
      <xdr:rowOff>177800</xdr:rowOff>
    </xdr:from>
    <xdr:to>
      <xdr:col>1</xdr:col>
      <xdr:colOff>5003800</xdr:colOff>
      <xdr:row>4</xdr:row>
      <xdr:rowOff>638811</xdr:rowOff>
    </xdr:to>
    <xdr:pic>
      <xdr:nvPicPr>
        <xdr:cNvPr id="3" name="Picture 2">
          <a:extLst>
            <a:ext uri="{FF2B5EF4-FFF2-40B4-BE49-F238E27FC236}">
              <a16:creationId xmlns:a16="http://schemas.microsoft.com/office/drawing/2014/main" id="{39913997-D214-EB4F-B75C-112E353F9FF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65" b="28362"/>
        <a:stretch/>
      </xdr:blipFill>
      <xdr:spPr>
        <a:xfrm>
          <a:off x="380999" y="177800"/>
          <a:ext cx="5080001" cy="12738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75DE1-46E5-244B-8EA5-7AF170CE9653}">
  <dimension ref="A1:G64"/>
  <sheetViews>
    <sheetView tabSelected="1" zoomScale="75" workbookViewId="0">
      <selection activeCell="J11" sqref="J11"/>
    </sheetView>
  </sheetViews>
  <sheetFormatPr baseColWidth="10" defaultColWidth="10.83203125" defaultRowHeight="16" x14ac:dyDescent="0.2"/>
  <cols>
    <col min="1" max="1" width="6" customWidth="1"/>
    <col min="2" max="2" width="103.33203125" customWidth="1"/>
    <col min="3" max="3" width="14.6640625" customWidth="1"/>
    <col min="4" max="4" width="10" customWidth="1"/>
    <col min="5" max="5" width="13.83203125" style="5" customWidth="1"/>
    <col min="6" max="6" width="31.1640625" style="5" customWidth="1"/>
    <col min="7" max="7" width="51.1640625" customWidth="1"/>
  </cols>
  <sheetData>
    <row r="1" spans="1:7" ht="16" customHeight="1" x14ac:dyDescent="0.2">
      <c r="A1" s="17" t="s">
        <v>64</v>
      </c>
      <c r="B1" s="18"/>
      <c r="C1" s="18"/>
      <c r="D1" s="18"/>
      <c r="E1" s="18"/>
      <c r="F1" s="18"/>
      <c r="G1" s="19"/>
    </row>
    <row r="2" spans="1:7" ht="16" customHeight="1" x14ac:dyDescent="0.2">
      <c r="A2" s="20"/>
      <c r="B2" s="21"/>
      <c r="C2" s="21"/>
      <c r="D2" s="21"/>
      <c r="E2" s="21"/>
      <c r="F2" s="21"/>
      <c r="G2" s="22"/>
    </row>
    <row r="3" spans="1:7" ht="16" customHeight="1" x14ac:dyDescent="0.2">
      <c r="A3" s="20"/>
      <c r="B3" s="21"/>
      <c r="C3" s="21"/>
      <c r="D3" s="21"/>
      <c r="E3" s="21"/>
      <c r="F3" s="21"/>
      <c r="G3" s="22"/>
    </row>
    <row r="4" spans="1:7" ht="16" customHeight="1" x14ac:dyDescent="0.2">
      <c r="A4" s="20"/>
      <c r="B4" s="21"/>
      <c r="C4" s="21"/>
      <c r="D4" s="21"/>
      <c r="E4" s="21"/>
      <c r="F4" s="21"/>
      <c r="G4" s="22"/>
    </row>
    <row r="5" spans="1:7" ht="63" customHeight="1" x14ac:dyDescent="0.2">
      <c r="A5" s="23"/>
      <c r="B5" s="24"/>
      <c r="C5" s="24"/>
      <c r="D5" s="24"/>
      <c r="E5" s="24"/>
      <c r="F5" s="24"/>
      <c r="G5" s="25"/>
    </row>
    <row r="6" spans="1:7" ht="28.5" customHeight="1" x14ac:dyDescent="0.25">
      <c r="A6" s="1"/>
      <c r="B6" s="30"/>
      <c r="C6" s="31"/>
      <c r="D6" s="31"/>
      <c r="E6" s="31"/>
      <c r="F6" s="31"/>
      <c r="G6" s="32"/>
    </row>
    <row r="7" spans="1:7" x14ac:dyDescent="0.2">
      <c r="A7" s="1" t="s">
        <v>0</v>
      </c>
      <c r="B7" s="2" t="s">
        <v>1</v>
      </c>
      <c r="C7" s="2" t="s">
        <v>3</v>
      </c>
      <c r="D7" s="2" t="s">
        <v>6</v>
      </c>
      <c r="E7" s="4" t="s">
        <v>7</v>
      </c>
      <c r="F7" s="8" t="s">
        <v>8</v>
      </c>
      <c r="G7" s="3" t="s">
        <v>4</v>
      </c>
    </row>
    <row r="8" spans="1:7" ht="19" customHeight="1" x14ac:dyDescent="0.2">
      <c r="A8" s="12"/>
      <c r="B8" s="11"/>
      <c r="C8" s="13"/>
      <c r="D8" s="14"/>
      <c r="E8" s="15"/>
      <c r="F8" s="16"/>
      <c r="G8" s="10"/>
    </row>
    <row r="9" spans="1:7" ht="19" customHeight="1" x14ac:dyDescent="0.2">
      <c r="A9" s="47" t="s">
        <v>54</v>
      </c>
      <c r="B9" s="48" t="s">
        <v>9</v>
      </c>
      <c r="C9" s="71"/>
      <c r="D9" s="72"/>
      <c r="E9" s="59"/>
      <c r="F9" s="49"/>
      <c r="G9" s="50"/>
    </row>
    <row r="10" spans="1:7" ht="19" customHeight="1" x14ac:dyDescent="0.2">
      <c r="A10" s="33">
        <v>1</v>
      </c>
      <c r="B10" s="44" t="s">
        <v>51</v>
      </c>
      <c r="C10" s="73">
        <v>1</v>
      </c>
      <c r="D10" s="74" t="s">
        <v>20</v>
      </c>
      <c r="E10" s="60">
        <v>1200</v>
      </c>
      <c r="F10" s="35">
        <f>$E10*C10</f>
        <v>1200</v>
      </c>
      <c r="G10" s="36"/>
    </row>
    <row r="11" spans="1:7" ht="19" customHeight="1" x14ac:dyDescent="0.2">
      <c r="A11" s="33">
        <v>2</v>
      </c>
      <c r="B11" s="44" t="s">
        <v>10</v>
      </c>
      <c r="C11" s="73">
        <v>2</v>
      </c>
      <c r="D11" s="74" t="s">
        <v>20</v>
      </c>
      <c r="E11" s="60">
        <v>650</v>
      </c>
      <c r="F11" s="35">
        <f t="shared" ref="F11:F53" si="0">$E11*C11</f>
        <v>1300</v>
      </c>
      <c r="G11" s="36"/>
    </row>
    <row r="12" spans="1:7" ht="19" customHeight="1" x14ac:dyDescent="0.2">
      <c r="A12" s="33">
        <v>3</v>
      </c>
      <c r="B12" s="44" t="s">
        <v>11</v>
      </c>
      <c r="C12" s="73"/>
      <c r="D12" s="74"/>
      <c r="E12" s="60"/>
      <c r="F12" s="35">
        <f t="shared" si="0"/>
        <v>0</v>
      </c>
      <c r="G12" s="36" t="s">
        <v>52</v>
      </c>
    </row>
    <row r="13" spans="1:7" ht="19" customHeight="1" x14ac:dyDescent="0.2">
      <c r="A13" s="38"/>
      <c r="B13" s="51"/>
      <c r="C13" s="75"/>
      <c r="D13" s="76"/>
      <c r="E13" s="61"/>
      <c r="F13" s="52"/>
      <c r="G13" s="53"/>
    </row>
    <row r="14" spans="1:7" ht="19" customHeight="1" x14ac:dyDescent="0.2">
      <c r="A14" s="33" t="s">
        <v>55</v>
      </c>
      <c r="B14" s="45" t="s">
        <v>12</v>
      </c>
      <c r="C14" s="62"/>
      <c r="D14" s="63"/>
      <c r="E14" s="60"/>
      <c r="F14" s="35"/>
      <c r="G14" s="36"/>
    </row>
    <row r="15" spans="1:7" ht="19" customHeight="1" x14ac:dyDescent="0.2">
      <c r="A15" s="33">
        <v>1</v>
      </c>
      <c r="B15" s="46" t="s">
        <v>13</v>
      </c>
      <c r="C15" s="62">
        <v>131.59</v>
      </c>
      <c r="D15" s="63" t="s">
        <v>15</v>
      </c>
      <c r="E15" s="60">
        <v>18</v>
      </c>
      <c r="F15" s="35">
        <f t="shared" si="0"/>
        <v>2368.62</v>
      </c>
      <c r="G15" s="36"/>
    </row>
    <row r="16" spans="1:7" ht="19" customHeight="1" x14ac:dyDescent="0.2">
      <c r="A16" s="33">
        <v>2</v>
      </c>
      <c r="B16" s="42" t="s">
        <v>14</v>
      </c>
      <c r="C16" s="62">
        <v>236.86</v>
      </c>
      <c r="D16" s="63" t="s">
        <v>15</v>
      </c>
      <c r="E16" s="60">
        <v>42</v>
      </c>
      <c r="F16" s="35">
        <f t="shared" si="0"/>
        <v>9948.1200000000008</v>
      </c>
      <c r="G16" s="36"/>
    </row>
    <row r="17" spans="1:7" ht="19" customHeight="1" x14ac:dyDescent="0.2">
      <c r="A17" s="33"/>
      <c r="B17" s="45"/>
      <c r="C17" s="64"/>
      <c r="D17" s="65"/>
      <c r="E17" s="60"/>
      <c r="F17" s="35"/>
      <c r="G17" s="36"/>
    </row>
    <row r="18" spans="1:7" ht="19" customHeight="1" x14ac:dyDescent="0.2">
      <c r="A18" s="47" t="s">
        <v>56</v>
      </c>
      <c r="B18" s="54" t="s">
        <v>16</v>
      </c>
      <c r="C18" s="66"/>
      <c r="D18" s="67"/>
      <c r="E18" s="59"/>
      <c r="F18" s="49"/>
      <c r="G18" s="50"/>
    </row>
    <row r="19" spans="1:7" ht="19" customHeight="1" x14ac:dyDescent="0.2">
      <c r="A19" s="33">
        <v>1</v>
      </c>
      <c r="B19" s="42" t="s">
        <v>17</v>
      </c>
      <c r="C19" s="62">
        <v>251.56</v>
      </c>
      <c r="D19" s="63" t="s">
        <v>15</v>
      </c>
      <c r="E19" s="60">
        <v>32</v>
      </c>
      <c r="F19" s="35">
        <f t="shared" si="0"/>
        <v>8049.92</v>
      </c>
      <c r="G19" s="36"/>
    </row>
    <row r="20" spans="1:7" ht="19" customHeight="1" x14ac:dyDescent="0.2">
      <c r="A20" s="33">
        <v>2</v>
      </c>
      <c r="B20" s="46" t="s">
        <v>18</v>
      </c>
      <c r="C20" s="62">
        <v>1</v>
      </c>
      <c r="D20" s="63" t="s">
        <v>43</v>
      </c>
      <c r="E20" s="60">
        <v>2000</v>
      </c>
      <c r="F20" s="35">
        <f t="shared" si="0"/>
        <v>2000</v>
      </c>
      <c r="G20" s="36" t="s">
        <v>53</v>
      </c>
    </row>
    <row r="21" spans="1:7" ht="19" customHeight="1" x14ac:dyDescent="0.2">
      <c r="A21" s="33">
        <v>3</v>
      </c>
      <c r="B21" s="46" t="s">
        <v>19</v>
      </c>
      <c r="C21" s="62">
        <v>452.81</v>
      </c>
      <c r="D21" s="63" t="s">
        <v>15</v>
      </c>
      <c r="E21" s="60">
        <v>42</v>
      </c>
      <c r="F21" s="35">
        <f t="shared" si="0"/>
        <v>19018.02</v>
      </c>
      <c r="G21" s="36"/>
    </row>
    <row r="22" spans="1:7" ht="19" customHeight="1" x14ac:dyDescent="0.2">
      <c r="A22" s="38"/>
      <c r="B22" s="55"/>
      <c r="C22" s="68"/>
      <c r="D22" s="69"/>
      <c r="E22" s="61"/>
      <c r="F22" s="52"/>
      <c r="G22" s="53"/>
    </row>
    <row r="23" spans="1:7" ht="19" customHeight="1" x14ac:dyDescent="0.2">
      <c r="A23" s="33" t="s">
        <v>57</v>
      </c>
      <c r="B23" s="56" t="s">
        <v>21</v>
      </c>
      <c r="C23" s="62"/>
      <c r="D23" s="63"/>
      <c r="E23" s="60"/>
      <c r="F23" s="35"/>
      <c r="G23" s="36"/>
    </row>
    <row r="24" spans="1:7" ht="19" customHeight="1" x14ac:dyDescent="0.2">
      <c r="A24" s="33">
        <v>1</v>
      </c>
      <c r="B24" s="37" t="s">
        <v>22</v>
      </c>
      <c r="C24" s="62">
        <v>184.82</v>
      </c>
      <c r="D24" s="63" t="s">
        <v>15</v>
      </c>
      <c r="E24" s="60">
        <v>178</v>
      </c>
      <c r="F24" s="35">
        <f t="shared" si="0"/>
        <v>32897.96</v>
      </c>
      <c r="G24" s="36"/>
    </row>
    <row r="25" spans="1:7" ht="19" customHeight="1" x14ac:dyDescent="0.2">
      <c r="A25" s="33"/>
      <c r="B25" s="43"/>
      <c r="C25" s="64"/>
      <c r="D25" s="65"/>
      <c r="E25" s="60"/>
      <c r="F25" s="35"/>
      <c r="G25" s="36"/>
    </row>
    <row r="26" spans="1:7" ht="19" customHeight="1" x14ac:dyDescent="0.2">
      <c r="A26" s="47" t="s">
        <v>58</v>
      </c>
      <c r="B26" s="57" t="s">
        <v>23</v>
      </c>
      <c r="C26" s="66"/>
      <c r="D26" s="67"/>
      <c r="E26" s="59"/>
      <c r="F26" s="49"/>
      <c r="G26" s="50"/>
    </row>
    <row r="27" spans="1:7" ht="19" customHeight="1" x14ac:dyDescent="0.2">
      <c r="A27" s="33">
        <v>1</v>
      </c>
      <c r="B27" s="56" t="s">
        <v>24</v>
      </c>
      <c r="C27" s="62">
        <v>231</v>
      </c>
      <c r="D27" s="63" t="s">
        <v>29</v>
      </c>
      <c r="E27" s="60">
        <v>29.1</v>
      </c>
      <c r="F27" s="35">
        <f t="shared" si="0"/>
        <v>6722.1</v>
      </c>
      <c r="G27" s="36"/>
    </row>
    <row r="28" spans="1:7" ht="19" customHeight="1" x14ac:dyDescent="0.2">
      <c r="A28" s="38"/>
      <c r="B28" s="58"/>
      <c r="C28" s="68"/>
      <c r="D28" s="69"/>
      <c r="E28" s="61"/>
      <c r="F28" s="52"/>
      <c r="G28" s="53"/>
    </row>
    <row r="29" spans="1:7" ht="19" customHeight="1" x14ac:dyDescent="0.2">
      <c r="A29" s="33" t="s">
        <v>59</v>
      </c>
      <c r="B29" s="56" t="s">
        <v>25</v>
      </c>
      <c r="C29" s="62"/>
      <c r="D29" s="63"/>
      <c r="E29" s="60"/>
      <c r="F29" s="35"/>
      <c r="G29" s="36"/>
    </row>
    <row r="30" spans="1:7" ht="19" customHeight="1" x14ac:dyDescent="0.2">
      <c r="A30" s="33">
        <v>1</v>
      </c>
      <c r="B30" s="37" t="s">
        <v>26</v>
      </c>
      <c r="C30" s="62">
        <v>293.43</v>
      </c>
      <c r="D30" s="63" t="s">
        <v>29</v>
      </c>
      <c r="E30" s="60">
        <v>85</v>
      </c>
      <c r="F30" s="35">
        <f t="shared" si="0"/>
        <v>24941.55</v>
      </c>
      <c r="G30" s="36"/>
    </row>
    <row r="31" spans="1:7" ht="19" customHeight="1" x14ac:dyDescent="0.2">
      <c r="A31" s="33">
        <v>2</v>
      </c>
      <c r="B31" s="37" t="s">
        <v>27</v>
      </c>
      <c r="C31" s="73">
        <v>1</v>
      </c>
      <c r="D31" s="77" t="s">
        <v>30</v>
      </c>
      <c r="E31" s="60">
        <v>2000</v>
      </c>
      <c r="F31" s="35">
        <f t="shared" si="0"/>
        <v>2000</v>
      </c>
      <c r="G31" s="36"/>
    </row>
    <row r="32" spans="1:7" ht="19" customHeight="1" x14ac:dyDescent="0.2">
      <c r="A32" s="33">
        <v>3</v>
      </c>
      <c r="B32" s="37" t="s">
        <v>28</v>
      </c>
      <c r="C32" s="73">
        <v>1</v>
      </c>
      <c r="D32" s="77" t="s">
        <v>43</v>
      </c>
      <c r="E32" s="60">
        <v>3000</v>
      </c>
      <c r="F32" s="35">
        <f t="shared" si="0"/>
        <v>3000</v>
      </c>
      <c r="G32" s="36"/>
    </row>
    <row r="33" spans="1:7" ht="19" customHeight="1" x14ac:dyDescent="0.2">
      <c r="A33" s="33"/>
      <c r="B33" s="43"/>
      <c r="C33" s="64"/>
      <c r="D33" s="65"/>
      <c r="E33" s="60"/>
      <c r="F33" s="35"/>
      <c r="G33" s="36"/>
    </row>
    <row r="34" spans="1:7" ht="19" customHeight="1" x14ac:dyDescent="0.2">
      <c r="A34" s="47" t="s">
        <v>60</v>
      </c>
      <c r="B34" s="57" t="s">
        <v>31</v>
      </c>
      <c r="C34" s="66"/>
      <c r="D34" s="67"/>
      <c r="E34" s="59"/>
      <c r="F34" s="49"/>
      <c r="G34" s="50"/>
    </row>
    <row r="35" spans="1:7" ht="19" customHeight="1" x14ac:dyDescent="0.2">
      <c r="A35" s="33">
        <v>1</v>
      </c>
      <c r="B35" s="44" t="s">
        <v>32</v>
      </c>
      <c r="C35" s="62">
        <v>77</v>
      </c>
      <c r="D35" s="63" t="s">
        <v>29</v>
      </c>
      <c r="E35" s="60">
        <v>110</v>
      </c>
      <c r="F35" s="35">
        <f t="shared" si="0"/>
        <v>8470</v>
      </c>
      <c r="G35" s="36"/>
    </row>
    <row r="36" spans="1:7" ht="19" customHeight="1" x14ac:dyDescent="0.2">
      <c r="A36" s="33">
        <v>2</v>
      </c>
      <c r="B36" s="44" t="s">
        <v>33</v>
      </c>
      <c r="C36" s="62">
        <v>1</v>
      </c>
      <c r="D36" s="63" t="s">
        <v>43</v>
      </c>
      <c r="E36" s="60">
        <v>2000</v>
      </c>
      <c r="F36" s="35">
        <f t="shared" si="0"/>
        <v>2000</v>
      </c>
      <c r="G36" s="36"/>
    </row>
    <row r="37" spans="1:7" ht="19" customHeight="1" x14ac:dyDescent="0.2">
      <c r="A37" s="38"/>
      <c r="B37" s="58"/>
      <c r="C37" s="68"/>
      <c r="D37" s="69"/>
      <c r="E37" s="61"/>
      <c r="F37" s="52"/>
      <c r="G37" s="53"/>
    </row>
    <row r="38" spans="1:7" ht="19" customHeight="1" x14ac:dyDescent="0.2">
      <c r="A38" s="33" t="s">
        <v>61</v>
      </c>
      <c r="B38" s="56" t="s">
        <v>34</v>
      </c>
      <c r="C38" s="62"/>
      <c r="D38" s="63"/>
      <c r="E38" s="60"/>
      <c r="F38" s="35"/>
      <c r="G38" s="36"/>
    </row>
    <row r="39" spans="1:7" ht="19" customHeight="1" x14ac:dyDescent="0.2">
      <c r="A39" s="33">
        <v>1</v>
      </c>
      <c r="B39" s="37" t="s">
        <v>35</v>
      </c>
      <c r="C39" s="62">
        <v>70</v>
      </c>
      <c r="D39" s="63" t="s">
        <v>36</v>
      </c>
      <c r="E39" s="60">
        <v>145</v>
      </c>
      <c r="F39" s="35">
        <f t="shared" si="0"/>
        <v>10150</v>
      </c>
      <c r="G39" s="36"/>
    </row>
    <row r="40" spans="1:7" ht="19" customHeight="1" x14ac:dyDescent="0.2">
      <c r="A40" s="33">
        <v>2</v>
      </c>
      <c r="B40" s="37" t="s">
        <v>37</v>
      </c>
      <c r="C40" s="62">
        <v>7</v>
      </c>
      <c r="D40" s="63" t="s">
        <v>38</v>
      </c>
      <c r="E40" s="60">
        <v>475</v>
      </c>
      <c r="F40" s="35">
        <f t="shared" si="0"/>
        <v>3325</v>
      </c>
      <c r="G40" s="36"/>
    </row>
    <row r="41" spans="1:7" ht="19" customHeight="1" x14ac:dyDescent="0.2">
      <c r="A41" s="33">
        <v>3</v>
      </c>
      <c r="B41" s="37" t="s">
        <v>39</v>
      </c>
      <c r="C41" s="62">
        <v>1</v>
      </c>
      <c r="D41" s="63" t="s">
        <v>43</v>
      </c>
      <c r="E41" s="60">
        <v>10000</v>
      </c>
      <c r="F41" s="35">
        <f t="shared" si="0"/>
        <v>10000</v>
      </c>
      <c r="G41" s="36"/>
    </row>
    <row r="42" spans="1:7" ht="19" customHeight="1" x14ac:dyDescent="0.2">
      <c r="A42" s="33">
        <v>4</v>
      </c>
      <c r="B42" s="37" t="s">
        <v>40</v>
      </c>
      <c r="C42" s="62">
        <v>1</v>
      </c>
      <c r="D42" s="63" t="s">
        <v>43</v>
      </c>
      <c r="E42" s="60">
        <v>2000</v>
      </c>
      <c r="F42" s="35">
        <f t="shared" si="0"/>
        <v>2000</v>
      </c>
      <c r="G42" s="36"/>
    </row>
    <row r="43" spans="1:7" ht="19" customHeight="1" x14ac:dyDescent="0.2">
      <c r="A43" s="33">
        <v>5</v>
      </c>
      <c r="B43" s="37" t="s">
        <v>41</v>
      </c>
      <c r="C43" s="62">
        <v>1</v>
      </c>
      <c r="D43" s="63" t="s">
        <v>43</v>
      </c>
      <c r="E43" s="60">
        <v>4000</v>
      </c>
      <c r="F43" s="35">
        <f t="shared" si="0"/>
        <v>4000</v>
      </c>
      <c r="G43" s="36"/>
    </row>
    <row r="44" spans="1:7" ht="19" customHeight="1" x14ac:dyDescent="0.2">
      <c r="A44" s="33">
        <v>6</v>
      </c>
      <c r="B44" s="42" t="s">
        <v>42</v>
      </c>
      <c r="C44" s="62">
        <v>1</v>
      </c>
      <c r="D44" s="63" t="s">
        <v>43</v>
      </c>
      <c r="E44" s="60">
        <v>1180</v>
      </c>
      <c r="F44" s="35">
        <f t="shared" si="0"/>
        <v>1180</v>
      </c>
      <c r="G44" s="36"/>
    </row>
    <row r="45" spans="1:7" ht="19" customHeight="1" x14ac:dyDescent="0.2">
      <c r="A45" s="33"/>
      <c r="B45" s="34"/>
      <c r="C45" s="73"/>
      <c r="D45" s="77"/>
      <c r="E45" s="60"/>
      <c r="F45" s="35"/>
      <c r="G45" s="36"/>
    </row>
    <row r="46" spans="1:7" ht="19" customHeight="1" x14ac:dyDescent="0.2">
      <c r="A46" s="47" t="s">
        <v>62</v>
      </c>
      <c r="B46" s="48" t="s">
        <v>44</v>
      </c>
      <c r="C46" s="71"/>
      <c r="D46" s="72"/>
      <c r="E46" s="59"/>
      <c r="F46" s="49"/>
      <c r="G46" s="50"/>
    </row>
    <row r="47" spans="1:7" ht="19" customHeight="1" x14ac:dyDescent="0.2">
      <c r="A47" s="33">
        <v>1</v>
      </c>
      <c r="B47" s="44" t="s">
        <v>45</v>
      </c>
      <c r="C47" s="62">
        <v>32</v>
      </c>
      <c r="D47" s="63" t="s">
        <v>29</v>
      </c>
      <c r="E47" s="60">
        <v>145</v>
      </c>
      <c r="F47" s="35">
        <f t="shared" si="0"/>
        <v>4640</v>
      </c>
      <c r="G47" s="36"/>
    </row>
    <row r="48" spans="1:7" ht="19" customHeight="1" x14ac:dyDescent="0.2">
      <c r="A48" s="33">
        <v>2</v>
      </c>
      <c r="B48" s="44" t="s">
        <v>46</v>
      </c>
      <c r="C48" s="62">
        <v>180</v>
      </c>
      <c r="D48" s="63" t="s">
        <v>29</v>
      </c>
      <c r="E48" s="60">
        <v>165</v>
      </c>
      <c r="F48" s="35">
        <f t="shared" si="0"/>
        <v>29700</v>
      </c>
      <c r="G48" s="36"/>
    </row>
    <row r="49" spans="1:7" ht="19" customHeight="1" x14ac:dyDescent="0.2">
      <c r="A49" s="33">
        <v>3</v>
      </c>
      <c r="B49" s="44" t="s">
        <v>47</v>
      </c>
      <c r="C49" s="62">
        <v>1</v>
      </c>
      <c r="D49" s="63" t="s">
        <v>43</v>
      </c>
      <c r="E49" s="60">
        <v>10000</v>
      </c>
      <c r="F49" s="35">
        <f t="shared" si="0"/>
        <v>10000</v>
      </c>
      <c r="G49" s="36"/>
    </row>
    <row r="50" spans="1:7" ht="19" customHeight="1" x14ac:dyDescent="0.2">
      <c r="A50" s="38"/>
      <c r="B50" s="58"/>
      <c r="C50" s="68"/>
      <c r="D50" s="69"/>
      <c r="E50" s="61"/>
      <c r="F50" s="52"/>
      <c r="G50" s="53"/>
    </row>
    <row r="51" spans="1:7" ht="19" customHeight="1" x14ac:dyDescent="0.2">
      <c r="A51" s="33" t="s">
        <v>63</v>
      </c>
      <c r="B51" s="56" t="s">
        <v>48</v>
      </c>
      <c r="C51" s="62"/>
      <c r="D51" s="63"/>
      <c r="E51" s="60"/>
      <c r="F51" s="35"/>
      <c r="G51" s="36"/>
    </row>
    <row r="52" spans="1:7" ht="19" customHeight="1" x14ac:dyDescent="0.2">
      <c r="A52" s="33">
        <v>1</v>
      </c>
      <c r="B52" s="37" t="s">
        <v>49</v>
      </c>
      <c r="C52" s="62">
        <v>1</v>
      </c>
      <c r="D52" s="63" t="s">
        <v>43</v>
      </c>
      <c r="E52" s="60">
        <v>6000</v>
      </c>
      <c r="F52" s="35">
        <f t="shared" si="0"/>
        <v>6000</v>
      </c>
      <c r="G52" s="36"/>
    </row>
    <row r="53" spans="1:7" ht="19" customHeight="1" x14ac:dyDescent="0.2">
      <c r="A53" s="33">
        <v>2</v>
      </c>
      <c r="B53" s="37" t="s">
        <v>50</v>
      </c>
      <c r="C53" s="62">
        <v>1</v>
      </c>
      <c r="D53" s="63" t="s">
        <v>20</v>
      </c>
      <c r="E53" s="60">
        <v>1500</v>
      </c>
      <c r="F53" s="35">
        <f t="shared" si="0"/>
        <v>1500</v>
      </c>
      <c r="G53" s="36"/>
    </row>
    <row r="54" spans="1:7" ht="19" customHeight="1" x14ac:dyDescent="0.2">
      <c r="A54" s="33"/>
      <c r="B54" s="56"/>
      <c r="C54" s="62"/>
      <c r="D54" s="63"/>
      <c r="E54" s="60"/>
      <c r="F54" s="35"/>
      <c r="G54" s="36"/>
    </row>
    <row r="55" spans="1:7" x14ac:dyDescent="0.2">
      <c r="A55" s="38"/>
      <c r="B55" s="39"/>
      <c r="C55" s="68"/>
      <c r="D55" s="78"/>
      <c r="E55" s="70"/>
      <c r="F55" s="40"/>
      <c r="G55" s="41"/>
    </row>
    <row r="56" spans="1:7" ht="15" customHeight="1" x14ac:dyDescent="0.2">
      <c r="A56" s="6"/>
      <c r="B56" s="27" t="s">
        <v>2</v>
      </c>
      <c r="C56" s="28"/>
      <c r="D56" s="28"/>
      <c r="E56" s="29"/>
      <c r="F56" s="9">
        <f>SUM(F8:F55)</f>
        <v>206411.29000000004</v>
      </c>
      <c r="G56" s="7"/>
    </row>
    <row r="57" spans="1:7" ht="15" customHeight="1" x14ac:dyDescent="0.2"/>
    <row r="58" spans="1:7" ht="16" customHeight="1" x14ac:dyDescent="0.2">
      <c r="B58" s="26" t="s">
        <v>5</v>
      </c>
      <c r="C58" s="26"/>
      <c r="D58" s="26"/>
      <c r="E58" s="26"/>
      <c r="F58" s="26"/>
      <c r="G58" s="26"/>
    </row>
    <row r="59" spans="1:7" x14ac:dyDescent="0.2">
      <c r="B59" s="26"/>
      <c r="C59" s="26"/>
      <c r="D59" s="26"/>
      <c r="E59" s="26"/>
      <c r="F59" s="26"/>
      <c r="G59" s="26"/>
    </row>
    <row r="60" spans="1:7" x14ac:dyDescent="0.2">
      <c r="B60" s="26"/>
      <c r="C60" s="26"/>
      <c r="D60" s="26"/>
      <c r="E60" s="26"/>
      <c r="F60" s="26"/>
      <c r="G60" s="26"/>
    </row>
    <row r="61" spans="1:7" x14ac:dyDescent="0.2">
      <c r="B61" s="26"/>
      <c r="C61" s="26"/>
      <c r="D61" s="26"/>
      <c r="E61" s="26"/>
      <c r="F61" s="26"/>
      <c r="G61" s="26"/>
    </row>
    <row r="62" spans="1:7" x14ac:dyDescent="0.2">
      <c r="B62" s="26"/>
      <c r="C62" s="26"/>
      <c r="D62" s="26"/>
      <c r="E62" s="26"/>
      <c r="F62" s="26"/>
      <c r="G62" s="26"/>
    </row>
    <row r="63" spans="1:7" x14ac:dyDescent="0.2">
      <c r="B63" s="26"/>
      <c r="C63" s="26"/>
      <c r="D63" s="26"/>
      <c r="E63" s="26"/>
      <c r="F63" s="26"/>
      <c r="G63" s="26"/>
    </row>
    <row r="64" spans="1:7" x14ac:dyDescent="0.2">
      <c r="B64" s="26"/>
      <c r="C64" s="26"/>
      <c r="D64" s="26"/>
      <c r="E64" s="26"/>
      <c r="F64" s="26"/>
      <c r="G64" s="26"/>
    </row>
  </sheetData>
  <mergeCells count="4">
    <mergeCell ref="A1:G5"/>
    <mergeCell ref="B58:G64"/>
    <mergeCell ref="B56:E56"/>
    <mergeCell ref="B6:G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Watkins</dc:creator>
  <cp:lastModifiedBy>Ricky Woods</cp:lastModifiedBy>
  <dcterms:created xsi:type="dcterms:W3CDTF">2022-07-20T12:50:04Z</dcterms:created>
  <dcterms:modified xsi:type="dcterms:W3CDTF">2026-09-08T13:19:33Z</dcterms:modified>
</cp:coreProperties>
</file>